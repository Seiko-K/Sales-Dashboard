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eikoatsuumi/Documents/GitHub/Sales-Dashboard/src/"/>
    </mc:Choice>
  </mc:AlternateContent>
  <xr:revisionPtr revIDLastSave="0" documentId="13_ncr:1_{17009251-9857-EB4E-910F-58361519E0DD}" xr6:coauthVersionLast="47" xr6:coauthVersionMax="47" xr10:uidLastSave="{00000000-0000-0000-0000-000000000000}"/>
  <bookViews>
    <workbookView xWindow="8060" yWindow="1700" windowWidth="28300" windowHeight="18480" xr2:uid="{DEEBA340-9C08-5045-B722-94D475730B04}"/>
  </bookViews>
  <sheets>
    <sheet name="Home Dashboard" sheetId="3" r:id="rId1"/>
    <sheet name="Daily Input" sheetId="2" r:id="rId2"/>
    <sheet name="Summary" sheetId="7" r:id="rId3"/>
    <sheet name="Weekly Summary" sheetId="4" r:id="rId4"/>
    <sheet name="Monthly KPI" sheetId="5" r:id="rId5"/>
    <sheet name="Settings" sheetId="1" r:id="rId6"/>
  </sheets>
  <definedNames>
    <definedName name="_xlchart.v2.0" hidden="1">Summary!$G$1</definedName>
    <definedName name="_xlchart.v2.1" hidden="1">Summary!$G$2:$G$5</definedName>
    <definedName name="_xlchart.v2.2" hidden="1">Summary!$H$1</definedName>
    <definedName name="_xlchart.v2.3" hidden="1">Summary!$H$2:$H$5</definedName>
    <definedName name="Products">tblProducts[Product / Service]</definedName>
    <definedName name="SalesReps">tblSalesReps[Sales Representatives]</definedName>
    <definedName name="SalesStatus">tblSalesStatus[Sales Status]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7" l="1"/>
  <c r="H4" i="7"/>
  <c r="H5" i="7"/>
  <c r="H2" i="7"/>
  <c r="N2" i="2"/>
  <c r="N3" i="2"/>
  <c r="N4" i="2"/>
  <c r="N5" i="2"/>
  <c r="N6" i="2"/>
  <c r="N7" i="2"/>
  <c r="N8" i="2"/>
  <c r="N9" i="2"/>
  <c r="N10" i="2"/>
  <c r="N11" i="2"/>
  <c r="N12" i="2"/>
  <c r="N13" i="2"/>
  <c r="N14" i="2"/>
  <c r="A2" i="7" a="1"/>
  <c r="A2" i="7" s="1"/>
  <c r="B3" i="7"/>
  <c r="B4" i="7"/>
  <c r="B5" i="7"/>
  <c r="J7" i="3"/>
  <c r="E3" i="7"/>
  <c r="E4" i="7"/>
  <c r="E5" i="7"/>
  <c r="D3" i="7"/>
  <c r="D4" i="7"/>
  <c r="D5" i="7"/>
  <c r="C3" i="7"/>
  <c r="C4" i="7"/>
  <c r="C5" i="7"/>
  <c r="G7" i="3"/>
  <c r="D7" i="3"/>
  <c r="A7" i="3"/>
  <c r="C2" i="7" l="1"/>
  <c r="B2" i="7"/>
  <c r="E2" i="7"/>
  <c r="D2" i="7"/>
  <c r="C11" i="3" l="1"/>
  <c r="B11" i="3"/>
  <c r="C9" i="2"/>
  <c r="C5" i="2"/>
  <c r="C3" i="2"/>
  <c r="C13" i="2"/>
  <c r="C6" i="2"/>
  <c r="C14" i="2"/>
  <c r="C7" i="2"/>
  <c r="C12" i="2"/>
  <c r="C4" i="2"/>
  <c r="C2" i="2"/>
  <c r="C10" i="2"/>
  <c r="C11" i="2"/>
  <c r="C8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<sst xmlns="http://schemas.openxmlformats.org/spreadsheetml/2006/main" count="127" uniqueCount="64">
  <si>
    <t>Sales Representatives</t>
    <phoneticPr fontId="1"/>
  </si>
  <si>
    <t>Active</t>
    <phoneticPr fontId="1"/>
  </si>
  <si>
    <t>Yes</t>
  </si>
  <si>
    <t>Emma Smith</t>
  </si>
  <si>
    <t>Liam Johnson</t>
  </si>
  <si>
    <t>Olivia Brown</t>
  </si>
  <si>
    <t>Noah Williams</t>
  </si>
  <si>
    <t>Sales Status</t>
  </si>
  <si>
    <t>Sort Order</t>
  </si>
  <si>
    <t>Lead</t>
  </si>
  <si>
    <t>Contacted</t>
  </si>
  <si>
    <t>Meeting</t>
  </si>
  <si>
    <t>Proposal</t>
  </si>
  <si>
    <t>Won</t>
  </si>
  <si>
    <t>Lost</t>
  </si>
  <si>
    <t>Product / Service</t>
  </si>
  <si>
    <t>Product / Service</t>
    <phoneticPr fontId="1"/>
  </si>
  <si>
    <t>Category</t>
    <phoneticPr fontId="1"/>
  </si>
  <si>
    <t>Consulting</t>
  </si>
  <si>
    <t>Service</t>
  </si>
  <si>
    <t>Software License</t>
  </si>
  <si>
    <t>Product</t>
  </si>
  <si>
    <t>Training</t>
  </si>
  <si>
    <t>Support Plan</t>
  </si>
  <si>
    <t>Setting</t>
    <phoneticPr fontId="1"/>
  </si>
  <si>
    <t>Value</t>
    <phoneticPr fontId="1"/>
  </si>
  <si>
    <t>Currency</t>
  </si>
  <si>
    <t>USD</t>
  </si>
  <si>
    <t>Monthly Revenue Target</t>
  </si>
  <si>
    <t>Monthly Sales Target</t>
  </si>
  <si>
    <t>Fiscal Year Start</t>
  </si>
  <si>
    <t>January</t>
  </si>
  <si>
    <t>Dashboard Title</t>
  </si>
  <si>
    <t>Sales Dashboard</t>
  </si>
  <si>
    <t>Date</t>
  </si>
  <si>
    <t>Sales Rep</t>
  </si>
  <si>
    <t>Customer / Lead</t>
  </si>
  <si>
    <t>Status</t>
  </si>
  <si>
    <t>Calls</t>
  </si>
  <si>
    <t>Emails</t>
  </si>
  <si>
    <t>Meetings</t>
  </si>
  <si>
    <t>Opportunities</t>
  </si>
  <si>
    <t>Sales</t>
  </si>
  <si>
    <t>Revenue</t>
  </si>
  <si>
    <t>Target</t>
  </si>
  <si>
    <t>Notes</t>
  </si>
  <si>
    <t>Initial consultation completed.</t>
  </si>
  <si>
    <t>Sales Dashboard</t>
    <phoneticPr fontId="1"/>
  </si>
  <si>
    <t>Revenue by Week</t>
    <phoneticPr fontId="1"/>
  </si>
  <si>
    <t>Top Sales Representatives</t>
    <phoneticPr fontId="1"/>
  </si>
  <si>
    <t>Sales</t>
    <phoneticPr fontId="1"/>
  </si>
  <si>
    <t>Revenue</t>
    <phoneticPr fontId="1"/>
  </si>
  <si>
    <t>Recent Activities</t>
    <phoneticPr fontId="1"/>
  </si>
  <si>
    <t>Date</t>
    <phoneticPr fontId="1"/>
  </si>
  <si>
    <t>Customer / Lead</t>
    <phoneticPr fontId="1"/>
  </si>
  <si>
    <t>Status</t>
    <phoneticPr fontId="1"/>
  </si>
  <si>
    <t xml:space="preserve">
Revenue</t>
    <phoneticPr fontId="1"/>
  </si>
  <si>
    <t>Achievement</t>
    <phoneticPr fontId="1"/>
  </si>
  <si>
    <t>Conversion Rate</t>
    <phoneticPr fontId="1"/>
  </si>
  <si>
    <t>Meetings</t>
    <phoneticPr fontId="1"/>
  </si>
  <si>
    <t>Opportunities</t>
    <phoneticPr fontId="1"/>
  </si>
  <si>
    <t>Top Sales Representative</t>
    <phoneticPr fontId="1"/>
  </si>
  <si>
    <t>Week</t>
  </si>
  <si>
    <t>Week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</si>
</sst>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24" formatCode="\$#,##0_);[Red]\(\$#,##0\)"/>
    <numFmt numFmtId="176" formatCode="\$#,##0.00;\-\$#,##0.00"/>
    <numFmt numFmtId="184" formatCode="&quot;Week &quot;0"/>
  </numFmts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b/>
      <sz val="12"/>
      <color theme="3" tint="9.9978637043366805E-2"/>
      <name val="游ゴシック"/>
      <family val="3"/>
      <charset val="128"/>
      <scheme val="minor"/>
    </font>
    <font>
      <b/>
      <sz val="24"/>
      <color theme="3" tint="9.9978637043366805E-2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3" tint="9.9948118533890809E-2"/>
      </left>
      <right/>
      <top style="thin">
        <color theme="3" tint="9.9948118533890809E-2"/>
      </top>
      <bottom/>
      <diagonal/>
    </border>
    <border>
      <left/>
      <right/>
      <top style="thin">
        <color theme="3" tint="9.9948118533890809E-2"/>
      </top>
      <bottom/>
      <diagonal/>
    </border>
    <border>
      <left style="thin">
        <color theme="3" tint="9.9948118533890809E-2"/>
      </left>
      <right/>
      <top/>
      <bottom/>
      <diagonal/>
    </border>
    <border>
      <left style="thin">
        <color theme="3" tint="9.9948118533890809E-2"/>
      </left>
      <right/>
      <top/>
      <bottom style="thin">
        <color theme="3" tint="9.9948118533890809E-2"/>
      </bottom>
      <diagonal/>
    </border>
    <border>
      <left/>
      <right/>
      <top/>
      <bottom style="thin">
        <color theme="3" tint="9.9948118533890809E-2"/>
      </bottom>
      <diagonal/>
    </border>
    <border>
      <left/>
      <right style="thin">
        <color theme="3" tint="9.9917600024414813E-2"/>
      </right>
      <top style="thin">
        <color theme="3" tint="9.9948118533890809E-2"/>
      </top>
      <bottom/>
      <diagonal/>
    </border>
    <border>
      <left/>
      <right style="thin">
        <color theme="3" tint="9.9917600024414813E-2"/>
      </right>
      <top/>
      <bottom/>
      <diagonal/>
    </border>
    <border>
      <left/>
      <right style="thin">
        <color theme="3" tint="9.9917600024414813E-2"/>
      </right>
      <top/>
      <bottom style="thin">
        <color theme="3" tint="9.9948118533890809E-2"/>
      </bottom>
      <diagonal/>
    </border>
    <border>
      <left style="thin">
        <color theme="3" tint="9.9917600024414813E-2"/>
      </left>
      <right/>
      <top style="thin">
        <color theme="3" tint="9.9917600024414813E-2"/>
      </top>
      <bottom/>
      <diagonal/>
    </border>
    <border>
      <left/>
      <right/>
      <top style="thin">
        <color theme="3" tint="9.9917600024414813E-2"/>
      </top>
      <bottom/>
      <diagonal/>
    </border>
    <border>
      <left/>
      <right style="thin">
        <color theme="3" tint="9.9917600024414813E-2"/>
      </right>
      <top style="thin">
        <color theme="3" tint="9.9917600024414813E-2"/>
      </top>
      <bottom/>
      <diagonal/>
    </border>
    <border>
      <left style="thin">
        <color theme="3" tint="9.9917600024414813E-2"/>
      </left>
      <right/>
      <top/>
      <bottom/>
      <diagonal/>
    </border>
    <border>
      <left style="thin">
        <color theme="3" tint="9.9917600024414813E-2"/>
      </left>
      <right/>
      <top/>
      <bottom style="thin">
        <color theme="3" tint="9.9917600024414813E-2"/>
      </bottom>
      <diagonal/>
    </border>
    <border>
      <left/>
      <right/>
      <top/>
      <bottom style="thin">
        <color theme="3" tint="9.9917600024414813E-2"/>
      </bottom>
      <diagonal/>
    </border>
    <border>
      <left/>
      <right style="thin">
        <color theme="3" tint="9.9917600024414813E-2"/>
      </right>
      <top/>
      <bottom style="thin">
        <color theme="3" tint="9.9917600024414813E-2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7" fillId="0" borderId="0" xfId="0" applyFont="1">
      <alignment vertical="center"/>
    </xf>
    <xf numFmtId="0" fontId="2" fillId="5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24" fontId="6" fillId="3" borderId="3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1" fontId="6" fillId="3" borderId="12" xfId="0" applyNumberFormat="1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9" fontId="6" fillId="3" borderId="12" xfId="0" applyNumberFormat="1" applyFont="1" applyFill="1" applyBorder="1" applyAlignment="1">
      <alignment horizontal="center" vertical="center"/>
    </xf>
    <xf numFmtId="9" fontId="6" fillId="3" borderId="0" xfId="0" applyNumberFormat="1" applyFont="1" applyFill="1" applyAlignment="1">
      <alignment horizontal="center" vertical="center"/>
    </xf>
    <xf numFmtId="9" fontId="6" fillId="3" borderId="7" xfId="0" applyNumberFormat="1" applyFont="1" applyFill="1" applyBorder="1" applyAlignment="1">
      <alignment horizontal="center" vertical="center"/>
    </xf>
    <xf numFmtId="9" fontId="6" fillId="3" borderId="13" xfId="0" applyNumberFormat="1" applyFont="1" applyFill="1" applyBorder="1" applyAlignment="1">
      <alignment horizontal="center" vertical="center"/>
    </xf>
    <xf numFmtId="9" fontId="6" fillId="3" borderId="14" xfId="0" applyNumberFormat="1" applyFont="1" applyFill="1" applyBorder="1" applyAlignment="1">
      <alignment horizontal="center" vertical="center"/>
    </xf>
    <xf numFmtId="9" fontId="6" fillId="3" borderId="15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84" fontId="0" fillId="0" borderId="0" xfId="0" applyNumberFormat="1">
      <alignment vertical="center"/>
    </xf>
  </cellXfs>
  <cellStyles count="1">
    <cellStyle name="標準" xfId="0" builtinId="0"/>
  </cellStyles>
  <dxfs count="1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游ゴシック"/>
        <family val="3"/>
        <charset val="128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19" formatCode="yyyy/m/d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Sales Representative</a:t>
            </a:r>
            <a:endParaRPr lang="en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" altLang="ja-JP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Summary!$A$2:$A$5</c:f>
              <c:strCache>
                <c:ptCount val="4"/>
                <c:pt idx="0">
                  <c:v>Emma Smith</c:v>
                </c:pt>
                <c:pt idx="1">
                  <c:v>Liam Johnson</c:v>
                </c:pt>
                <c:pt idx="2">
                  <c:v>Olivia Brown</c:v>
                </c:pt>
                <c:pt idx="3">
                  <c:v>Noah Williams</c:v>
                </c:pt>
              </c:strCache>
            </c:strRef>
          </c:cat>
          <c:val>
            <c:numRef>
              <c:f>Summary!$B$2:$B$5</c:f>
              <c:numCache>
                <c:formatCode>\$#,##0.00;\-\$#,##0.00</c:formatCode>
                <c:ptCount val="4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4-4D45-9ABF-1EBBBC0868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41016256"/>
        <c:axId val="241020736"/>
      </c:barChart>
      <c:catAx>
        <c:axId val="24101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1020736"/>
        <c:crosses val="autoZero"/>
        <c:auto val="1"/>
        <c:lblAlgn val="ctr"/>
        <c:lblOffset val="100"/>
        <c:noMultiLvlLbl val="0"/>
      </c:catAx>
      <c:valAx>
        <c:axId val="2410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-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101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ja-JP"/>
              <a:t>Revenue by Week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Week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Summary!$G$2:$G$5</c:f>
              <c:numCache>
                <c:formatCode>"Week "0</c:formatCode>
                <c:ptCount val="4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4-104E-8F0B-AD5BA867E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0169536"/>
        <c:axId val="370169984"/>
      </c:lineChart>
      <c:catAx>
        <c:axId val="370169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169984"/>
        <c:crosses val="autoZero"/>
        <c:auto val="1"/>
        <c:lblAlgn val="ctr"/>
        <c:lblOffset val="100"/>
        <c:noMultiLvlLbl val="0"/>
      </c:catAx>
      <c:valAx>
        <c:axId val="37016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Week &quot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016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25</xdr:row>
      <xdr:rowOff>142876</xdr:rowOff>
    </xdr:from>
    <xdr:to>
      <xdr:col>5</xdr:col>
      <xdr:colOff>1079500</xdr:colOff>
      <xdr:row>39</xdr:row>
      <xdr:rowOff>47626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60785E-AE25-0744-BE8E-37A4D1DF1F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952499</xdr:colOff>
      <xdr:row>25</xdr:row>
      <xdr:rowOff>158750</xdr:rowOff>
    </xdr:from>
    <xdr:to>
      <xdr:col>12</xdr:col>
      <xdr:colOff>349249</xdr:colOff>
      <xdr:row>38</xdr:row>
      <xdr:rowOff>222250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E776A9E-FE11-594D-80A5-657B0C349B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5A406-8C57-2D44-8E38-06F9B76A48FE}" name="tblSales" displayName="tblSales" ref="A1:N14" totalsRowShown="0" headerRowDxfId="16">
  <autoFilter ref="A1:N14" xr:uid="{5775A406-8C57-2D44-8E38-06F9B76A48FE}"/>
  <tableColumns count="14">
    <tableColumn id="1" xr3:uid="{7AEBEA8D-185B-E240-9B93-D5C2046F3112}" name="Date" dataDxfId="15">
      <calculatedColumnFormula>AND($A2="",COUNTA($A2:$M2)&gt;0)</calculatedColumnFormula>
    </tableColumn>
    <tableColumn id="2" xr3:uid="{7805F7A6-3771-7C4A-8F61-0E7A67EA1F99}" name="Sales Rep" dataDxfId="14">
      <calculatedColumnFormula>COUNTIF(tblSales[Sales Rep],"Emma Smith")</calculatedColumnFormula>
    </tableColumn>
    <tableColumn id="3" xr3:uid="{D1628122-9A8C-B44A-A564-1B2E43946958}" name="Customer / Lead" dataDxfId="13">
      <calculatedColumnFormula>AND($B2="",COUNTA($A2:$M2)&gt;0)</calculatedColumnFormula>
    </tableColumn>
    <tableColumn id="4" xr3:uid="{034F583C-403F-164E-A74E-E1921A197D5D}" name="Product / Service"/>
    <tableColumn id="5" xr3:uid="{F8EF18BD-111D-894D-92C5-E6CCD0C4603E}" name="Status"/>
    <tableColumn id="6" xr3:uid="{D190B2EA-B05C-5144-B402-F8BA1C66B7FE}" name="Calls" dataDxfId="12"/>
    <tableColumn id="7" xr3:uid="{44FD1556-F8DE-6348-9595-CBC5F1FDF790}" name="Emails" dataDxfId="11"/>
    <tableColumn id="8" xr3:uid="{73F61085-90F8-DC4B-A7E4-E889F208D9F6}" name="Meetings" dataDxfId="10"/>
    <tableColumn id="9" xr3:uid="{E2BD5CAB-9235-DA46-9C49-E6DC3F43B8AD}" name="Opportunities" dataDxfId="9"/>
    <tableColumn id="10" xr3:uid="{C0EBF227-7E8D-7F41-AC5E-9442561474A2}" name="Sales" dataDxfId="8"/>
    <tableColumn id="11" xr3:uid="{3982783A-49F4-BB4E-9158-F99038DA3F59}" name="Revenue" dataDxfId="7"/>
    <tableColumn id="12" xr3:uid="{7AEC310F-1373-F74C-AA6A-951D4229DFAE}" name="Target" dataDxfId="6"/>
    <tableColumn id="13" xr3:uid="{64061935-2ABD-9C40-8E9F-1B2E101A5623}" name="Notes"/>
    <tableColumn id="14" xr3:uid="{A63E6501-8160-114D-8405-8A1C7D3EC61F}" name="Week" dataDxfId="1">
      <calculatedColumnFormula>WEEKNUM(tblSales[[#This Row],[Date]],2)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85D2D1-E493-C449-AFBB-91C6C06AB33B}" name="tblSalesReps" displayName="tblSalesReps" ref="A1:B7" totalsRowShown="0" headerRowDxfId="5">
  <autoFilter ref="A1:B7" xr:uid="{9A85D2D1-E493-C449-AFBB-91C6C06AB33B}"/>
  <tableColumns count="2">
    <tableColumn id="1" xr3:uid="{5BDCD5EE-5B11-4A41-8E59-47765A6F863C}" name="Sales Representatives"/>
    <tableColumn id="2" xr3:uid="{F8E6AAA6-86C5-2E4B-BBB3-55BAFF33C052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1952BA-27E7-EE41-B9D1-D365838D49C4}" name="tblSalesStatus" displayName="tblSalesStatus" ref="D1:E7" totalsRowShown="0" headerRowDxfId="4">
  <autoFilter ref="D1:E7" xr:uid="{051952BA-27E7-EE41-B9D1-D365838D49C4}"/>
  <tableColumns count="2">
    <tableColumn id="1" xr3:uid="{F9D67EA4-B605-FF46-94D3-C8281EEEFD46}" name="Sales Status"/>
    <tableColumn id="2" xr3:uid="{0A7820B2-B137-1C44-A8A3-6E489A617653}" name="Sort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E43BC3-EAEF-B04D-B96D-B845E0E15A9D}" name="tblProducts" displayName="tblProducts" ref="G1:H5" totalsRowShown="0" headerRowDxfId="3">
  <autoFilter ref="G1:H5" xr:uid="{96E43BC3-EAEF-B04D-B96D-B845E0E15A9D}"/>
  <tableColumns count="2">
    <tableColumn id="1" xr3:uid="{933AF870-CA0F-E24E-84CB-0076703675A6}" name="Product / Service"/>
    <tableColumn id="2" xr3:uid="{CA07CC0E-9BB2-F94B-B288-C811CF991BAA}" name="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683640-83A2-B243-B8A9-8A2DFD09E223}" name="tblSettings" displayName="tblSettings" ref="J1:K6" totalsRowShown="0" headerRowDxfId="2">
  <autoFilter ref="J1:K6" xr:uid="{58683640-83A2-B243-B8A9-8A2DFD09E223}"/>
  <tableColumns count="2">
    <tableColumn id="1" xr3:uid="{43274D1A-0DE2-2C49-8C45-2604541AF87E}" name="Setting"/>
    <tableColumn id="2" xr3:uid="{B31BF9F6-56DD-B949-BF2C-B9CCFB8D042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D206-0E71-4D40-9B9D-730A18A08815}">
  <sheetPr codeName="Sheet1"/>
  <dimension ref="A1:L42"/>
  <sheetViews>
    <sheetView showGridLines="0" tabSelected="1" topLeftCell="A14" zoomScale="80" zoomScaleNormal="80" workbookViewId="0">
      <selection activeCell="D45" sqref="D45"/>
    </sheetView>
  </sheetViews>
  <sheetFormatPr baseColWidth="10" defaultRowHeight="20"/>
  <cols>
    <col min="1" max="12" width="12.7109375" customWidth="1"/>
  </cols>
  <sheetData>
    <row r="1" spans="1:12" ht="15" customHeight="1"/>
    <row r="2" spans="1:12" ht="28" customHeight="1">
      <c r="A2" s="13" t="s">
        <v>47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28" customHeight="1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22" customHeight="1"/>
    <row r="5" spans="1:12" ht="20" customHeight="1">
      <c r="A5" s="18" t="s">
        <v>56</v>
      </c>
      <c r="B5" s="19"/>
      <c r="C5" s="20"/>
      <c r="D5" s="31" t="s">
        <v>50</v>
      </c>
      <c r="E5" s="32"/>
      <c r="F5" s="33"/>
      <c r="G5" s="31" t="s">
        <v>57</v>
      </c>
      <c r="H5" s="32"/>
      <c r="I5" s="33"/>
      <c r="J5" s="31" t="s">
        <v>58</v>
      </c>
      <c r="K5" s="32"/>
      <c r="L5" s="33"/>
    </row>
    <row r="6" spans="1:12" ht="24" customHeight="1">
      <c r="A6" s="21"/>
      <c r="B6" s="22"/>
      <c r="C6" s="23"/>
      <c r="D6" s="34"/>
      <c r="E6" s="22"/>
      <c r="F6" s="23"/>
      <c r="G6" s="34"/>
      <c r="H6" s="22"/>
      <c r="I6" s="23"/>
      <c r="J6" s="34"/>
      <c r="K6" s="22"/>
      <c r="L6" s="23"/>
    </row>
    <row r="7" spans="1:12" ht="24" customHeight="1">
      <c r="A7" s="24">
        <f>SUM(tblSales[Revenue])</f>
        <v>26</v>
      </c>
      <c r="B7" s="25"/>
      <c r="C7" s="26"/>
      <c r="D7" s="35">
        <f>SUM(tblSales[Sales])</f>
        <v>39</v>
      </c>
      <c r="E7" s="25"/>
      <c r="F7" s="26"/>
      <c r="G7" s="40">
        <f>SUM(tblSales[Revenue])/INDEX(tblSettings[Value],MATCH("Monthly Revenue Target",tblSettings[Setting],0))</f>
        <v>5.1999999999999995E-4</v>
      </c>
      <c r="H7" s="41"/>
      <c r="I7" s="42"/>
      <c r="J7" s="40">
        <f>IF(
COUNTIF(tblSales[Status],"Meeting")
+COUNTIF(tblSales[Status],"Won")=0,
0,
COUNTIF(tblSales[Status],"Won")
/
(
COUNTIF(tblSales[Status],"Meeting")
+COUNTIF(tblSales[Status],"Won")
)
)</f>
        <v>0</v>
      </c>
      <c r="K7" s="41"/>
      <c r="L7" s="42"/>
    </row>
    <row r="8" spans="1:12" ht="24" customHeight="1">
      <c r="A8" s="27"/>
      <c r="B8" s="25"/>
      <c r="C8" s="26"/>
      <c r="D8" s="36"/>
      <c r="E8" s="25"/>
      <c r="F8" s="26"/>
      <c r="G8" s="40"/>
      <c r="H8" s="41"/>
      <c r="I8" s="42"/>
      <c r="J8" s="40"/>
      <c r="K8" s="41"/>
      <c r="L8" s="42"/>
    </row>
    <row r="9" spans="1:12" ht="24" customHeight="1">
      <c r="A9" s="28"/>
      <c r="B9" s="29"/>
      <c r="C9" s="30"/>
      <c r="D9" s="37"/>
      <c r="E9" s="38"/>
      <c r="F9" s="39"/>
      <c r="G9" s="43"/>
      <c r="H9" s="44"/>
      <c r="I9" s="45"/>
      <c r="J9" s="43"/>
      <c r="K9" s="44"/>
      <c r="L9" s="45"/>
    </row>
    <row r="10" spans="1:12">
      <c r="A10" t="s">
        <v>61</v>
      </c>
    </row>
    <row r="11" spans="1:12" ht="22" customHeight="1">
      <c r="B11" s="11" t="str">
        <f>INDEX(Summary!$A$2:$A$5,MATCH(MAX(Summary!$B$2:$B$5),Summary!$B$2:$B$5,0))</f>
        <v>Emma Smith</v>
      </c>
      <c r="C11" s="10">
        <f>MAX(Summary!$B$2:$B$5)</f>
        <v>8</v>
      </c>
      <c r="G11" s="15" t="s">
        <v>48</v>
      </c>
      <c r="H11" s="15"/>
      <c r="I11" s="15"/>
      <c r="J11" s="15"/>
      <c r="K11" s="15"/>
      <c r="L11" s="15"/>
    </row>
    <row r="12" spans="1:12">
      <c r="A12" s="8"/>
      <c r="B12" s="8"/>
      <c r="C12" s="8"/>
      <c r="D12" s="8"/>
      <c r="E12" s="8"/>
      <c r="F12" s="8"/>
      <c r="G12" s="15"/>
      <c r="H12" s="15"/>
      <c r="I12" s="15"/>
      <c r="J12" s="15"/>
      <c r="K12" s="15"/>
      <c r="L12" s="15"/>
    </row>
    <row r="13" spans="1:12">
      <c r="A13" s="8"/>
      <c r="B13" s="8"/>
      <c r="C13" s="8"/>
      <c r="D13" s="8"/>
      <c r="E13" s="8"/>
      <c r="F13" s="8"/>
      <c r="G13" s="15"/>
      <c r="H13" s="15"/>
      <c r="I13" s="15"/>
      <c r="J13" s="15"/>
      <c r="K13" s="15"/>
      <c r="L13" s="15"/>
    </row>
    <row r="14" spans="1:12">
      <c r="A14" s="8"/>
      <c r="B14" s="8"/>
      <c r="C14" s="8"/>
      <c r="D14" s="8"/>
      <c r="E14" s="8"/>
      <c r="F14" s="8"/>
      <c r="G14" s="15"/>
      <c r="H14" s="15"/>
      <c r="I14" s="15"/>
      <c r="J14" s="15"/>
      <c r="K14" s="15"/>
      <c r="L14" s="15"/>
    </row>
    <row r="15" spans="1:12">
      <c r="A15" s="8"/>
      <c r="B15" s="8"/>
      <c r="C15" s="8"/>
      <c r="D15" s="8"/>
      <c r="E15" s="8"/>
      <c r="F15" s="8"/>
      <c r="G15" s="15"/>
      <c r="H15" s="15"/>
      <c r="I15" s="15"/>
      <c r="J15" s="15"/>
      <c r="K15" s="15"/>
      <c r="L15" s="15"/>
    </row>
    <row r="16" spans="1:12">
      <c r="A16" s="8"/>
      <c r="B16" s="8"/>
      <c r="C16" s="8"/>
      <c r="D16" s="8"/>
      <c r="E16" s="8"/>
      <c r="F16" s="8"/>
      <c r="G16" s="15"/>
      <c r="H16" s="15"/>
      <c r="I16" s="15"/>
      <c r="J16" s="15"/>
      <c r="K16" s="15"/>
      <c r="L16" s="15"/>
    </row>
    <row r="17" spans="1:12">
      <c r="A17" s="8"/>
      <c r="B17" s="8"/>
      <c r="C17" s="8"/>
      <c r="D17" s="8"/>
      <c r="E17" s="8"/>
      <c r="F17" s="8"/>
      <c r="G17" s="15"/>
      <c r="H17" s="15"/>
      <c r="I17" s="15"/>
      <c r="J17" s="15"/>
      <c r="K17" s="15"/>
      <c r="L17" s="15"/>
    </row>
    <row r="18" spans="1:12">
      <c r="A18" s="8"/>
      <c r="B18" s="8"/>
      <c r="C18" s="8"/>
      <c r="D18" s="8"/>
      <c r="E18" s="8"/>
      <c r="F18" s="8"/>
      <c r="G18" s="15"/>
      <c r="H18" s="15"/>
      <c r="I18" s="15"/>
      <c r="J18" s="15"/>
      <c r="K18" s="15"/>
      <c r="L18" s="15"/>
    </row>
    <row r="19" spans="1:12">
      <c r="A19" s="8"/>
      <c r="B19" s="8"/>
      <c r="C19" s="8"/>
      <c r="D19" s="8"/>
      <c r="E19" s="8"/>
      <c r="F19" s="8"/>
      <c r="G19" s="15"/>
      <c r="H19" s="15"/>
      <c r="I19" s="15"/>
      <c r="J19" s="15"/>
      <c r="K19" s="15"/>
      <c r="L19" s="15"/>
    </row>
    <row r="20" spans="1:12">
      <c r="A20" s="8"/>
      <c r="B20" s="8"/>
      <c r="C20" s="8"/>
      <c r="D20" s="8"/>
      <c r="E20" s="8"/>
      <c r="F20" s="8"/>
      <c r="G20" s="15"/>
      <c r="H20" s="15"/>
      <c r="I20" s="15"/>
      <c r="J20" s="15"/>
      <c r="K20" s="15"/>
      <c r="L20" s="15"/>
    </row>
    <row r="21" spans="1:12">
      <c r="A21" s="8"/>
      <c r="B21" s="8"/>
      <c r="C21" s="8"/>
      <c r="D21" s="8"/>
      <c r="E21" s="8"/>
      <c r="F21" s="8"/>
      <c r="G21" s="15"/>
      <c r="H21" s="15"/>
      <c r="I21" s="15"/>
      <c r="J21" s="15"/>
      <c r="K21" s="15"/>
      <c r="L21" s="15"/>
    </row>
    <row r="22" spans="1:12">
      <c r="A22" s="8"/>
      <c r="B22" s="8"/>
      <c r="C22" s="8"/>
      <c r="D22" s="8"/>
      <c r="E22" s="8"/>
      <c r="F22" s="8"/>
      <c r="G22" s="15"/>
      <c r="H22" s="15"/>
      <c r="I22" s="15"/>
      <c r="J22" s="15"/>
      <c r="K22" s="15"/>
      <c r="L22" s="15"/>
    </row>
    <row r="24" spans="1:12">
      <c r="A24" s="16" t="s">
        <v>49</v>
      </c>
      <c r="B24" s="17"/>
      <c r="C24" s="17"/>
      <c r="D24" s="17"/>
      <c r="E24" s="17"/>
      <c r="F24" s="17"/>
    </row>
    <row r="25" spans="1:12">
      <c r="A25" t="s">
        <v>35</v>
      </c>
      <c r="D25" t="s">
        <v>50</v>
      </c>
      <c r="E25" t="s">
        <v>51</v>
      </c>
    </row>
    <row r="41" spans="1:6">
      <c r="A41" s="15" t="s">
        <v>52</v>
      </c>
      <c r="B41" s="15"/>
      <c r="C41" s="15"/>
      <c r="D41" s="15"/>
      <c r="E41" s="15"/>
      <c r="F41" s="15"/>
    </row>
    <row r="42" spans="1:6">
      <c r="A42" t="s">
        <v>53</v>
      </c>
      <c r="B42" s="15" t="s">
        <v>54</v>
      </c>
      <c r="C42" s="15"/>
      <c r="D42" s="15"/>
      <c r="E42" t="s">
        <v>55</v>
      </c>
      <c r="F42" t="s">
        <v>51</v>
      </c>
    </row>
  </sheetData>
  <mergeCells count="13">
    <mergeCell ref="A2:L3"/>
    <mergeCell ref="G11:L22"/>
    <mergeCell ref="A24:F24"/>
    <mergeCell ref="A41:F41"/>
    <mergeCell ref="B42:D42"/>
    <mergeCell ref="A5:C6"/>
    <mergeCell ref="A7:C9"/>
    <mergeCell ref="D5:F6"/>
    <mergeCell ref="D7:F9"/>
    <mergeCell ref="G5:I6"/>
    <mergeCell ref="G7:I9"/>
    <mergeCell ref="J5:L6"/>
    <mergeCell ref="J7:L9"/>
  </mergeCells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C496-3950-8F40-8A32-2568E65126D5}">
  <sheetPr codeName="Sheet2"/>
  <dimension ref="A1:N14"/>
  <sheetViews>
    <sheetView workbookViewId="0">
      <pane ySplit="1" topLeftCell="A2" activePane="bottomLeft" state="frozen"/>
      <selection pane="bottomLeft" activeCell="N2" sqref="N2"/>
    </sheetView>
  </sheetViews>
  <sheetFormatPr baseColWidth="10" defaultRowHeight="20"/>
  <cols>
    <col min="1" max="1" width="10.42578125" style="7" bestFit="1" customWidth="1"/>
    <col min="2" max="2" width="14" bestFit="1" customWidth="1"/>
    <col min="3" max="3" width="20.140625" bestFit="1" customWidth="1"/>
    <col min="4" max="4" width="20.85546875" bestFit="1" customWidth="1"/>
    <col min="5" max="5" width="11.42578125" bestFit="1" customWidth="1"/>
    <col min="6" max="8" width="10.7109375" style="6"/>
    <col min="9" max="9" width="14.140625" style="6" customWidth="1"/>
    <col min="10" max="10" width="10.7109375" style="6"/>
    <col min="11" max="12" width="10.7109375" style="4"/>
    <col min="13" max="13" width="26.7109375" bestFit="1" customWidth="1"/>
  </cols>
  <sheetData>
    <row r="1" spans="1:14">
      <c r="A1" s="9" t="s">
        <v>34</v>
      </c>
      <c r="B1" s="2" t="s">
        <v>35</v>
      </c>
      <c r="C1" s="2" t="s">
        <v>36</v>
      </c>
      <c r="D1" s="2" t="s">
        <v>15</v>
      </c>
      <c r="E1" s="2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J1" s="5" t="s">
        <v>42</v>
      </c>
      <c r="K1" s="3" t="s">
        <v>43</v>
      </c>
      <c r="L1" s="3" t="s">
        <v>44</v>
      </c>
      <c r="M1" s="2" t="s">
        <v>45</v>
      </c>
      <c r="N1" s="2" t="s">
        <v>62</v>
      </c>
    </row>
    <row r="2" spans="1:14">
      <c r="A2" s="7">
        <v>46216</v>
      </c>
      <c r="B2" t="s">
        <v>3</v>
      </c>
      <c r="C2">
        <f ca="1">AND($B4="",COUNTA($A4:$M4)&gt;0)</f>
        <v>0</v>
      </c>
      <c r="D2" t="s">
        <v>18</v>
      </c>
      <c r="E2" t="s">
        <v>11</v>
      </c>
      <c r="F2" s="6">
        <v>5</v>
      </c>
      <c r="G2" s="6">
        <v>8</v>
      </c>
      <c r="H2" s="6">
        <v>1</v>
      </c>
      <c r="I2" s="6">
        <v>1</v>
      </c>
      <c r="J2" s="6">
        <v>3</v>
      </c>
      <c r="K2" s="4">
        <v>2</v>
      </c>
      <c r="L2" s="4">
        <v>2500</v>
      </c>
      <c r="M2" t="s">
        <v>46</v>
      </c>
      <c r="N2">
        <f>WEEKNUM(tblSales[[#This Row],[Date]],2)</f>
        <v>29</v>
      </c>
    </row>
    <row r="3" spans="1:14">
      <c r="A3" s="7">
        <v>46217</v>
      </c>
      <c r="B3" t="s">
        <v>4</v>
      </c>
      <c r="C3">
        <f t="shared" ref="C3:C14" ca="1" si="0">AND($B3="",COUNTA($A3:$M3)&gt;0)</f>
        <v>0</v>
      </c>
      <c r="D3" t="s">
        <v>18</v>
      </c>
      <c r="E3" t="s">
        <v>11</v>
      </c>
      <c r="F3" s="6">
        <v>5</v>
      </c>
      <c r="G3" s="6">
        <v>8</v>
      </c>
      <c r="H3" s="6">
        <v>1</v>
      </c>
      <c r="I3" s="6">
        <v>1</v>
      </c>
      <c r="J3" s="6">
        <v>3</v>
      </c>
      <c r="K3" s="4">
        <v>2</v>
      </c>
      <c r="L3" s="4">
        <v>2500</v>
      </c>
      <c r="M3" t="s">
        <v>46</v>
      </c>
      <c r="N3">
        <f>WEEKNUM(tblSales[[#This Row],[Date]],2)</f>
        <v>29</v>
      </c>
    </row>
    <row r="4" spans="1:14">
      <c r="A4" s="7">
        <v>46218</v>
      </c>
      <c r="B4" t="s">
        <v>5</v>
      </c>
      <c r="C4">
        <f t="shared" ca="1" si="0"/>
        <v>0</v>
      </c>
      <c r="D4" t="s">
        <v>18</v>
      </c>
      <c r="E4" t="s">
        <v>11</v>
      </c>
      <c r="F4" s="6">
        <v>5</v>
      </c>
      <c r="G4" s="6">
        <v>8</v>
      </c>
      <c r="H4" s="6">
        <v>1</v>
      </c>
      <c r="I4" s="6">
        <v>1</v>
      </c>
      <c r="J4" s="6">
        <v>3</v>
      </c>
      <c r="K4" s="4">
        <v>2</v>
      </c>
      <c r="L4" s="4">
        <v>2500</v>
      </c>
      <c r="M4" t="s">
        <v>46</v>
      </c>
      <c r="N4">
        <f>WEEKNUM(tblSales[[#This Row],[Date]],2)</f>
        <v>29</v>
      </c>
    </row>
    <row r="5" spans="1:14">
      <c r="A5" s="7">
        <v>46219</v>
      </c>
      <c r="B5" t="s">
        <v>6</v>
      </c>
      <c r="C5">
        <f t="shared" ca="1" si="0"/>
        <v>0</v>
      </c>
      <c r="D5" t="s">
        <v>18</v>
      </c>
      <c r="E5" t="s">
        <v>11</v>
      </c>
      <c r="F5" s="6">
        <v>5</v>
      </c>
      <c r="G5" s="6">
        <v>8</v>
      </c>
      <c r="H5" s="6">
        <v>1</v>
      </c>
      <c r="I5" s="6">
        <v>1</v>
      </c>
      <c r="J5" s="6">
        <v>3</v>
      </c>
      <c r="K5" s="4">
        <v>2</v>
      </c>
      <c r="L5" s="4">
        <v>2500</v>
      </c>
      <c r="M5" t="s">
        <v>46</v>
      </c>
      <c r="N5">
        <f>WEEKNUM(tblSales[[#This Row],[Date]],2)</f>
        <v>29</v>
      </c>
    </row>
    <row r="6" spans="1:14">
      <c r="A6" s="7">
        <v>46220</v>
      </c>
      <c r="B6" t="s">
        <v>3</v>
      </c>
      <c r="C6">
        <f t="shared" ca="1" si="0"/>
        <v>0</v>
      </c>
      <c r="D6" t="s">
        <v>18</v>
      </c>
      <c r="E6" t="s">
        <v>11</v>
      </c>
      <c r="F6" s="6">
        <v>5</v>
      </c>
      <c r="G6" s="6">
        <v>8</v>
      </c>
      <c r="H6" s="6">
        <v>1</v>
      </c>
      <c r="I6" s="6">
        <v>1</v>
      </c>
      <c r="J6" s="6">
        <v>3</v>
      </c>
      <c r="K6" s="4">
        <v>2</v>
      </c>
      <c r="L6" s="4">
        <v>2500</v>
      </c>
      <c r="M6" t="s">
        <v>46</v>
      </c>
      <c r="N6">
        <f>WEEKNUM(tblSales[[#This Row],[Date]],2)</f>
        <v>29</v>
      </c>
    </row>
    <row r="7" spans="1:14">
      <c r="A7" s="7">
        <v>46221</v>
      </c>
      <c r="B7" t="s">
        <v>4</v>
      </c>
      <c r="C7">
        <f t="shared" ca="1" si="0"/>
        <v>0</v>
      </c>
      <c r="D7" t="s">
        <v>18</v>
      </c>
      <c r="E7" t="s">
        <v>11</v>
      </c>
      <c r="F7" s="6">
        <v>5</v>
      </c>
      <c r="G7" s="6">
        <v>8</v>
      </c>
      <c r="H7" s="6">
        <v>1</v>
      </c>
      <c r="I7" s="6">
        <v>1</v>
      </c>
      <c r="J7" s="6">
        <v>3</v>
      </c>
      <c r="K7" s="4">
        <v>2</v>
      </c>
      <c r="L7" s="4">
        <v>2500</v>
      </c>
      <c r="M7" t="s">
        <v>46</v>
      </c>
      <c r="N7">
        <f>WEEKNUM(tblSales[[#This Row],[Date]],2)</f>
        <v>29</v>
      </c>
    </row>
    <row r="8" spans="1:14">
      <c r="A8" s="7">
        <v>46222</v>
      </c>
      <c r="B8" t="s">
        <v>5</v>
      </c>
      <c r="C8">
        <f t="shared" ca="1" si="0"/>
        <v>0</v>
      </c>
      <c r="D8" t="s">
        <v>18</v>
      </c>
      <c r="E8" t="s">
        <v>11</v>
      </c>
      <c r="F8" s="6">
        <v>5</v>
      </c>
      <c r="G8" s="6">
        <v>8</v>
      </c>
      <c r="H8" s="6">
        <v>1</v>
      </c>
      <c r="I8" s="6">
        <v>1</v>
      </c>
      <c r="J8" s="6">
        <v>3</v>
      </c>
      <c r="K8" s="4">
        <v>2</v>
      </c>
      <c r="L8" s="4">
        <v>2500</v>
      </c>
      <c r="M8" t="s">
        <v>46</v>
      </c>
      <c r="N8">
        <f>WEEKNUM(tblSales[[#This Row],[Date]],2)</f>
        <v>29</v>
      </c>
    </row>
    <row r="9" spans="1:14">
      <c r="A9" s="7">
        <v>46224</v>
      </c>
      <c r="B9" t="s">
        <v>6</v>
      </c>
      <c r="C9">
        <f t="shared" ca="1" si="0"/>
        <v>0</v>
      </c>
      <c r="D9" t="s">
        <v>18</v>
      </c>
      <c r="E9" t="s">
        <v>11</v>
      </c>
      <c r="F9" s="6">
        <v>5</v>
      </c>
      <c r="G9" s="6">
        <v>8</v>
      </c>
      <c r="H9" s="6">
        <v>1</v>
      </c>
      <c r="I9" s="6">
        <v>1</v>
      </c>
      <c r="J9" s="6">
        <v>3</v>
      </c>
      <c r="K9" s="4">
        <v>2</v>
      </c>
      <c r="L9" s="4">
        <v>2500</v>
      </c>
      <c r="M9" t="s">
        <v>46</v>
      </c>
      <c r="N9">
        <f>WEEKNUM(tblSales[[#This Row],[Date]],2)</f>
        <v>30</v>
      </c>
    </row>
    <row r="10" spans="1:14">
      <c r="A10" s="7">
        <v>46224</v>
      </c>
      <c r="B10" t="s">
        <v>3</v>
      </c>
      <c r="C10">
        <f t="shared" ca="1" si="0"/>
        <v>0</v>
      </c>
      <c r="D10" t="s">
        <v>18</v>
      </c>
      <c r="E10" t="s">
        <v>11</v>
      </c>
      <c r="F10" s="6">
        <v>5</v>
      </c>
      <c r="G10" s="6">
        <v>8</v>
      </c>
      <c r="H10" s="6">
        <v>1</v>
      </c>
      <c r="I10" s="6">
        <v>1</v>
      </c>
      <c r="J10" s="6">
        <v>3</v>
      </c>
      <c r="K10" s="4">
        <v>2</v>
      </c>
      <c r="L10" s="4">
        <v>2500</v>
      </c>
      <c r="M10" t="s">
        <v>46</v>
      </c>
      <c r="N10">
        <f>WEEKNUM(tblSales[[#This Row],[Date]],2)</f>
        <v>30</v>
      </c>
    </row>
    <row r="11" spans="1:14">
      <c r="A11" s="7">
        <v>46225</v>
      </c>
      <c r="B11" t="s">
        <v>4</v>
      </c>
      <c r="C11">
        <f t="shared" ca="1" si="0"/>
        <v>0</v>
      </c>
      <c r="D11" t="s">
        <v>18</v>
      </c>
      <c r="E11" t="s">
        <v>11</v>
      </c>
      <c r="F11" s="6">
        <v>5</v>
      </c>
      <c r="G11" s="6">
        <v>8</v>
      </c>
      <c r="H11" s="6">
        <v>1</v>
      </c>
      <c r="I11" s="6">
        <v>1</v>
      </c>
      <c r="J11" s="6">
        <v>3</v>
      </c>
      <c r="K11" s="4">
        <v>2</v>
      </c>
      <c r="L11" s="4">
        <v>2500</v>
      </c>
      <c r="M11" t="s">
        <v>46</v>
      </c>
      <c r="N11">
        <f>WEEKNUM(tblSales[[#This Row],[Date]],2)</f>
        <v>30</v>
      </c>
    </row>
    <row r="12" spans="1:14">
      <c r="A12" s="7">
        <v>46226</v>
      </c>
      <c r="B12" t="s">
        <v>5</v>
      </c>
      <c r="C12">
        <f t="shared" ca="1" si="0"/>
        <v>0</v>
      </c>
      <c r="D12" t="s">
        <v>18</v>
      </c>
      <c r="E12" t="s">
        <v>11</v>
      </c>
      <c r="F12" s="6">
        <v>5</v>
      </c>
      <c r="G12" s="6">
        <v>8</v>
      </c>
      <c r="H12" s="6">
        <v>1</v>
      </c>
      <c r="I12" s="6">
        <v>1</v>
      </c>
      <c r="J12" s="6">
        <v>3</v>
      </c>
      <c r="K12" s="4">
        <v>2</v>
      </c>
      <c r="L12" s="4">
        <v>2500</v>
      </c>
      <c r="M12" t="s">
        <v>46</v>
      </c>
      <c r="N12">
        <f>WEEKNUM(tblSales[[#This Row],[Date]],2)</f>
        <v>30</v>
      </c>
    </row>
    <row r="13" spans="1:14">
      <c r="A13" s="7">
        <v>46227</v>
      </c>
      <c r="B13" t="s">
        <v>6</v>
      </c>
      <c r="C13">
        <f t="shared" ca="1" si="0"/>
        <v>0</v>
      </c>
      <c r="D13" t="s">
        <v>18</v>
      </c>
      <c r="E13" t="s">
        <v>11</v>
      </c>
      <c r="F13" s="6">
        <v>5</v>
      </c>
      <c r="G13" s="6">
        <v>8</v>
      </c>
      <c r="H13" s="6">
        <v>1</v>
      </c>
      <c r="I13" s="6">
        <v>1</v>
      </c>
      <c r="J13" s="6">
        <v>3</v>
      </c>
      <c r="K13" s="4">
        <v>2</v>
      </c>
      <c r="L13" s="4">
        <v>2500</v>
      </c>
      <c r="M13" t="s">
        <v>46</v>
      </c>
      <c r="N13">
        <f>WEEKNUM(tblSales[[#This Row],[Date]],2)</f>
        <v>30</v>
      </c>
    </row>
    <row r="14" spans="1:14">
      <c r="A14" s="7">
        <v>46228</v>
      </c>
      <c r="B14" t="s">
        <v>3</v>
      </c>
      <c r="C14">
        <f t="shared" ca="1" si="0"/>
        <v>0</v>
      </c>
      <c r="D14" t="s">
        <v>18</v>
      </c>
      <c r="E14" t="s">
        <v>11</v>
      </c>
      <c r="F14" s="6">
        <v>5</v>
      </c>
      <c r="G14" s="6">
        <v>8</v>
      </c>
      <c r="H14" s="6">
        <v>1</v>
      </c>
      <c r="I14" s="6">
        <v>1</v>
      </c>
      <c r="J14" s="6">
        <v>3</v>
      </c>
      <c r="K14" s="4">
        <v>2</v>
      </c>
      <c r="L14" s="4">
        <v>2500</v>
      </c>
      <c r="M14" t="s">
        <v>46</v>
      </c>
      <c r="N14">
        <f>WEEKNUM(tblSales[[#This Row],[Date]],2)</f>
        <v>30</v>
      </c>
    </row>
  </sheetData>
  <phoneticPr fontId="1"/>
  <conditionalFormatting sqref="C17">
    <cfRule type="expression" dxfId="0" priority="1">
      <formula>AND($A2="",COUNTA($A2:$M2)&gt;0)</formula>
    </cfRule>
  </conditionalFormatting>
  <dataValidations count="3">
    <dataValidation type="list" allowBlank="1" showInputMessage="1" showErrorMessage="1" sqref="B2:B14" xr:uid="{9DD528E4-FED7-5A4D-9879-F613E122D88A}">
      <formula1>SalesReps</formula1>
    </dataValidation>
    <dataValidation type="list" allowBlank="1" showInputMessage="1" showErrorMessage="1" sqref="D2:D14" xr:uid="{5476F50E-F9A4-B940-87EC-2556D58F6B3C}">
      <formula1>Products</formula1>
    </dataValidation>
    <dataValidation type="list" allowBlank="1" showInputMessage="1" showErrorMessage="1" sqref="E2:E14" xr:uid="{C77FD214-0C0B-A84C-85CB-D67896C0D069}">
      <formula1>SalesStatus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04D58DC-142F-394E-9235-FA8E46F371F7}">
          <x14:formula1>
            <xm:f>Settings!$A$2:$A$5</xm:f>
          </x14:formula1>
          <xm:sqref>B1 B15:B1048576</xm:sqref>
        </x14:dataValidation>
        <x14:dataValidation type="list" allowBlank="1" showInputMessage="1" showErrorMessage="1" xr:uid="{CE5B47F4-9175-5B48-AC3A-5F662E73BAB2}">
          <x14:formula1>
            <xm:f>Settings!$D$2:$D$7</xm:f>
          </x14:formula1>
          <xm:sqref>E1 E15:E1048576</xm:sqref>
        </x14:dataValidation>
        <x14:dataValidation type="list" allowBlank="1" showInputMessage="1" showErrorMessage="1" xr:uid="{08D9A091-89D2-8141-A5F9-B1F20530F99F}">
          <x14:formula1>
            <xm:f>Settings!$G$2:$G$5</xm:f>
          </x14:formula1>
          <xm:sqref>D1 D15:D1048576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7183-1C90-8D4B-B2ED-8B123B836864}">
  <sheetPr codeName="Sheet3"/>
  <dimension ref="A1:H9"/>
  <sheetViews>
    <sheetView topLeftCell="A6" workbookViewId="0">
      <selection activeCell="F19" sqref="F19"/>
    </sheetView>
  </sheetViews>
  <sheetFormatPr baseColWidth="10" defaultRowHeight="20"/>
  <cols>
    <col min="1" max="1" width="13" bestFit="1" customWidth="1"/>
    <col min="2" max="2" width="8.7109375" bestFit="1" customWidth="1"/>
    <col min="5" max="5" width="12.85546875" bestFit="1" customWidth="1"/>
  </cols>
  <sheetData>
    <row r="1" spans="1:8">
      <c r="A1" s="12" t="s">
        <v>35</v>
      </c>
      <c r="B1" s="12" t="s">
        <v>43</v>
      </c>
      <c r="C1" s="12" t="s">
        <v>50</v>
      </c>
      <c r="D1" s="12" t="s">
        <v>59</v>
      </c>
      <c r="E1" s="12" t="s">
        <v>60</v>
      </c>
      <c r="G1" s="46" t="s">
        <v>63</v>
      </c>
      <c r="H1" s="47" t="s">
        <v>51</v>
      </c>
    </row>
    <row r="2" spans="1:8">
      <c r="A2" t="str" cm="1">
        <f t="array" ref="A2:A5">_xlfn._xlws.FILTER(
INDEX(tblSalesReps[],0,1),
tblSalesReps[Active]="Yes",
""
)</f>
        <v>Emma Smith</v>
      </c>
      <c r="B2" s="10">
        <f>SUMIFS(tblSales[Revenue],tblSales[Sales Rep],$A2)</f>
        <v>8</v>
      </c>
      <c r="C2">
        <f>SUMIFS(tblSales[Sales],tblSales[Sales Rep],$A2)</f>
        <v>12</v>
      </c>
      <c r="D2">
        <f>SUMIFS(tblSales[Meetings],tblSales[Sales Rep],$A2)</f>
        <v>4</v>
      </c>
      <c r="E2">
        <f>SUMIFS(tblSales[Opportunities],tblSales[Sales Rep],$A2)</f>
        <v>4</v>
      </c>
      <c r="G2" s="48">
        <v>29</v>
      </c>
      <c r="H2">
        <f>SUMIFS(tblSales[Revenue],tblSales[Week],G2)</f>
        <v>14</v>
      </c>
    </row>
    <row r="3" spans="1:8">
      <c r="A3" t="str">
        <v>Liam Johnson</v>
      </c>
      <c r="B3" s="10">
        <f>SUMIFS(
tblSales[Revenue],
tblSales[Sales Rep],
A3
)</f>
        <v>6</v>
      </c>
      <c r="C3">
        <f>SUMIFS(tblSales[Sales],tblSales[Sales Rep],$A3)</f>
        <v>9</v>
      </c>
      <c r="D3">
        <f>SUMIFS(tblSales[Meetings],tblSales[Sales Rep],$A3)</f>
        <v>3</v>
      </c>
      <c r="E3">
        <f>SUMIFS(tblSales[Opportunities],tblSales[Sales Rep],$A3)</f>
        <v>3</v>
      </c>
      <c r="G3" s="48">
        <v>29</v>
      </c>
      <c r="H3">
        <f>SUMIFS(tblSales[Revenue],tblSales[Week],G3)</f>
        <v>14</v>
      </c>
    </row>
    <row r="4" spans="1:8">
      <c r="A4" t="str">
        <v>Olivia Brown</v>
      </c>
      <c r="B4" s="10">
        <f>SUMIFS(
tblSales[Revenue],
tblSales[Sales Rep],
A4
)</f>
        <v>6</v>
      </c>
      <c r="C4">
        <f>SUMIFS(tblSales[Sales],tblSales[Sales Rep],$A4)</f>
        <v>9</v>
      </c>
      <c r="D4">
        <f>SUMIFS(tblSales[Meetings],tblSales[Sales Rep],$A4)</f>
        <v>3</v>
      </c>
      <c r="E4">
        <f>SUMIFS(tblSales[Opportunities],tblSales[Sales Rep],$A4)</f>
        <v>3</v>
      </c>
      <c r="G4" s="48">
        <v>29</v>
      </c>
      <c r="H4">
        <f>SUMIFS(tblSales[Revenue],tblSales[Week],G4)</f>
        <v>14</v>
      </c>
    </row>
    <row r="5" spans="1:8">
      <c r="A5" t="str">
        <v>Noah Williams</v>
      </c>
      <c r="B5" s="10">
        <f>SUMIFS(
tblSales[Revenue],
tblSales[Sales Rep],
A5
)</f>
        <v>6</v>
      </c>
      <c r="C5">
        <f>SUMIFS(tblSales[Sales],tblSales[Sales Rep],$A5)</f>
        <v>9</v>
      </c>
      <c r="D5">
        <f>SUMIFS(tblSales[Meetings],tblSales[Sales Rep],$A5)</f>
        <v>3</v>
      </c>
      <c r="E5">
        <f>SUMIFS(tblSales[Opportunities],tblSales[Sales Rep],$A5)</f>
        <v>3</v>
      </c>
      <c r="G5" s="48">
        <v>29</v>
      </c>
      <c r="H5">
        <f>SUMIFS(tblSales[Revenue],tblSales[Week],G5)</f>
        <v>14</v>
      </c>
    </row>
    <row r="9" spans="1:8">
      <c r="B9" s="2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3C38-541F-5D4D-BA26-8A8B7F122A28}">
  <sheetPr codeName="Sheet4"/>
  <dimension ref="A1"/>
  <sheetViews>
    <sheetView workbookViewId="0">
      <selection activeCell="B27" sqref="B27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44BC-D500-3444-BA39-902319319941}">
  <sheetPr codeName="Sheet5"/>
  <dimension ref="A1"/>
  <sheetViews>
    <sheetView workbookViewId="0">
      <selection activeCell="F27" sqref="F27"/>
    </sheetView>
  </sheetViews>
  <sheetFormatPr baseColWidth="10" defaultRowHeight="20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4D4E-9E74-4442-8299-3C00181C75C2}">
  <sheetPr codeName="Sheet6"/>
  <dimension ref="A1:K7"/>
  <sheetViews>
    <sheetView workbookViewId="0"/>
  </sheetViews>
  <sheetFormatPr baseColWidth="10" defaultRowHeight="20"/>
  <cols>
    <col min="1" max="1" width="21.140625" customWidth="1"/>
    <col min="2" max="2" width="16.42578125" bestFit="1" customWidth="1"/>
    <col min="4" max="4" width="13.28515625" customWidth="1"/>
    <col min="5" max="5" width="11.7109375" customWidth="1"/>
    <col min="7" max="7" width="17.42578125" customWidth="1"/>
    <col min="10" max="10" width="22.140625" bestFit="1" customWidth="1"/>
    <col min="11" max="11" width="15.42578125" bestFit="1" customWidth="1"/>
  </cols>
  <sheetData>
    <row r="1" spans="1:11">
      <c r="A1" s="1" t="s">
        <v>0</v>
      </c>
      <c r="B1" s="1" t="s">
        <v>1</v>
      </c>
      <c r="D1" s="1" t="s">
        <v>7</v>
      </c>
      <c r="E1" s="1" t="s">
        <v>8</v>
      </c>
      <c r="G1" s="1" t="s">
        <v>16</v>
      </c>
      <c r="H1" s="1" t="s">
        <v>17</v>
      </c>
      <c r="J1" s="1" t="s">
        <v>24</v>
      </c>
      <c r="K1" s="1" t="s">
        <v>25</v>
      </c>
    </row>
    <row r="2" spans="1:11">
      <c r="A2" t="s">
        <v>3</v>
      </c>
      <c r="B2" t="s">
        <v>2</v>
      </c>
      <c r="D2" t="s">
        <v>9</v>
      </c>
      <c r="E2">
        <v>1</v>
      </c>
      <c r="G2" t="s">
        <v>18</v>
      </c>
      <c r="H2" t="s">
        <v>19</v>
      </c>
      <c r="J2" t="s">
        <v>26</v>
      </c>
      <c r="K2" t="s">
        <v>27</v>
      </c>
    </row>
    <row r="3" spans="1:11">
      <c r="A3" t="s">
        <v>4</v>
      </c>
      <c r="B3" t="s">
        <v>2</v>
      </c>
      <c r="D3" t="s">
        <v>10</v>
      </c>
      <c r="E3">
        <v>2</v>
      </c>
      <c r="G3" t="s">
        <v>20</v>
      </c>
      <c r="H3" t="s">
        <v>21</v>
      </c>
      <c r="J3" t="s">
        <v>28</v>
      </c>
      <c r="K3">
        <v>50000</v>
      </c>
    </row>
    <row r="4" spans="1:11">
      <c r="A4" t="s">
        <v>5</v>
      </c>
      <c r="B4" t="s">
        <v>2</v>
      </c>
      <c r="D4" t="s">
        <v>11</v>
      </c>
      <c r="E4">
        <v>3</v>
      </c>
      <c r="G4" t="s">
        <v>22</v>
      </c>
      <c r="H4" t="s">
        <v>19</v>
      </c>
      <c r="J4" t="s">
        <v>29</v>
      </c>
      <c r="K4">
        <v>20</v>
      </c>
    </row>
    <row r="5" spans="1:11">
      <c r="A5" t="s">
        <v>6</v>
      </c>
      <c r="B5" t="s">
        <v>2</v>
      </c>
      <c r="D5" t="s">
        <v>12</v>
      </c>
      <c r="E5">
        <v>4</v>
      </c>
      <c r="G5" t="s">
        <v>23</v>
      </c>
      <c r="H5" t="s">
        <v>19</v>
      </c>
      <c r="J5" t="s">
        <v>30</v>
      </c>
      <c r="K5" t="s">
        <v>31</v>
      </c>
    </row>
    <row r="6" spans="1:11">
      <c r="D6" t="s">
        <v>13</v>
      </c>
      <c r="E6">
        <v>5</v>
      </c>
      <c r="J6" t="s">
        <v>32</v>
      </c>
      <c r="K6" t="s">
        <v>33</v>
      </c>
    </row>
    <row r="7" spans="1:11">
      <c r="D7" t="s">
        <v>14</v>
      </c>
      <c r="E7">
        <v>6</v>
      </c>
    </row>
  </sheetData>
  <phoneticPr fontId="1"/>
  <pageMargins left="0.7" right="0.7" top="0.75" bottom="0.75" header="0.3" footer="0.3"/>
  <pageSetup paperSize="9" orientation="portrait" horizontalDpi="0" verticalDpi="0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Home Dashboard</vt:lpstr>
      <vt:lpstr>Daily Input</vt:lpstr>
      <vt:lpstr>Summary</vt:lpstr>
      <vt:lpstr>Weekly Summary</vt:lpstr>
      <vt:lpstr>Monthly KPI</vt:lpstr>
      <vt:lpstr>Settings</vt:lpstr>
      <vt:lpstr>Products</vt:lpstr>
      <vt:lpstr>SalesReps</vt:lpstr>
      <vt:lpstr>SalesStatus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聖子 厚海</dc:creator>
  <cp:lastModifiedBy>聖子 厚海</cp:lastModifiedBy>
  <dcterms:created xsi:type="dcterms:W3CDTF">2026-07-13T06:49:47Z</dcterms:created>
  <dcterms:modified xsi:type="dcterms:W3CDTF">2026-07-22T04:33:49Z</dcterms:modified>
</cp:coreProperties>
</file>